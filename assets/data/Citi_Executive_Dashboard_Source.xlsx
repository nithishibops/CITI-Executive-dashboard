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cb47d3014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_History" sheetId="1" r:id="R4fc998b0eb6842d1"/>
    <x:sheet xmlns:r="http://schemas.openxmlformats.org/officeDocument/2006/relationships" name="Balance_Sheet_2025" sheetId="2" r:id="R1280717c6ccf4cab"/>
    <x:sheet xmlns:r="http://schemas.openxmlformats.org/officeDocument/2006/relationships" name="Operating_Highlights" sheetId="3" r:id="R6818b7a87b364175"/>
    <x:sheet xmlns:r="http://schemas.openxmlformats.org/officeDocument/2006/relationships" name="Business_Segments" sheetId="4" r:id="R52ce2b85ea2a454c"/>
    <x:sheet xmlns:r="http://schemas.openxmlformats.org/officeDocument/2006/relationships" name="Segment_Trends" sheetId="5" r:id="R982928daecd64d09"/>
    <x:sheet xmlns:r="http://schemas.openxmlformats.org/officeDocument/2006/relationships" name="Loans_Deposits" sheetId="6" r:id="R69f0394a81c44971"/>
    <x:sheet xmlns:r="http://schemas.openxmlformats.org/officeDocument/2006/relationships" name="Sources" sheetId="7" r:id="R9760dea372a04168"/>
    <x:sheet xmlns:r="http://schemas.openxmlformats.org/officeDocument/2006/relationships" name="Data_Dictionary" sheetId="8" r:id="Readc9670dc0448e8"/>
    <x:sheet xmlns:r="http://schemas.openxmlformats.org/officeDocument/2006/relationships" name="Citi Executive Dashboard" sheetId="9" r:id="Rb42828e59207438b"/>
    <x:sheet xmlns:r="http://schemas.openxmlformats.org/officeDocument/2006/relationships" name="_ChartData" sheetId="10" r:id="Rce6a146b6a624b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0.00&quot;T&quot;"/>
    <x:numFmt numFmtId="201" formatCode="$0.0&quot;B&quot;"/>
    <x:numFmt numFmtId="202" formatCode="0.00&quot;%&quot;"/>
    <x:numFmt numFmtId="203" formatCode="0.0&quot;%&quot;"/>
    <x:numFmt numFmtId="204" formatCode="0.0%"/>
    <x:numFmt numFmtId="205" formatCode="0&quot; K&quot;"/>
  </x:numFmts>
  <x:fonts count="16">
    <x:font>
      <x:sz val="11"/>
      <x:color theme="1"/>
      <x:name val="Calibri"/>
    </x:font>
    <x:font>
      <x:b/>
    </x:font>
    <x:font>
      <x:sz val="9"/>
      <x:color rgb="FF162A3A"/>
      <x:name val="Aptos"/>
    </x:font>
    <x:font>
      <x:sz val="10"/>
      <x:color rgb="FF162A3A"/>
      <x:name val="Aptos"/>
    </x:font>
    <x:font>
      <x:b/>
      <x:sz val="23"/>
      <x:color rgb="FFFFFFFF"/>
      <x:name val="Aptos Display"/>
    </x:font>
    <x:font>
      <x:sz val="10"/>
      <x:color rgb="FF6E8190"/>
      <x:name val="Aptos"/>
    </x:font>
    <x:font>
      <x:b/>
      <x:sz val="9"/>
      <x:color rgb="FFE31837"/>
      <x:name val="Aptos"/>
    </x:font>
    <x:font>
      <x:b/>
      <x:sz val="8"/>
      <x:color rgb="FF6E8190"/>
      <x:name val="Aptos"/>
    </x:font>
    <x:font>
      <x:b/>
      <x:sz val="22"/>
      <x:color rgb="FF002B49"/>
      <x:name val="Aptos"/>
    </x:font>
    <x:font>
      <x:b/>
      <x:sz val="8"/>
      <x:color rgb="FF1F9D73"/>
      <x:name val="Aptos"/>
    </x:font>
    <x:font>
      <x:b/>
      <x:sz val="8"/>
      <x:color rgb="FFE31837"/>
      <x:name val="Aptos"/>
    </x:font>
    <x:font>
      <x:b/>
      <x:sz val="9"/>
      <x:color rgb="FF056DAE"/>
      <x:name val="Aptos"/>
    </x:font>
    <x:font>
      <x:b/>
      <x:sz val="10"/>
      <x:color rgb="FFFFFFFF"/>
      <x:name val="Aptos"/>
    </x:font>
    <x:font>
      <x:b/>
      <x:sz val="18"/>
      <x:color rgb="FF002B49"/>
      <x:name val="Aptos"/>
    </x:font>
    <x:font>
      <x:sz val="8"/>
      <x:color rgb="FF6E8190"/>
      <x:name val="Aptos"/>
    </x:font>
    <x:font>
      <x:sz val="7"/>
      <x:color rgb="FF6E819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F4F7FA"/>
      </x:patternFill>
    </x:fill>
    <x:fill>
      <x:patternFill patternType="solid">
        <x:fgColor rgb="FF002B49"/>
      </x:patternFill>
    </x:fill>
    <x:fill>
      <x:patternFill patternType="solid">
        <x:fgColor rgb="FFE31837"/>
      </x:patternFill>
    </x:fill>
    <x:fill>
      <x:patternFill patternType="solid">
        <x:fgColor rgb="FFFFFFFF"/>
      </x:patternFill>
    </x:fill>
    <x:fill>
      <x:patternFill patternType="solid">
        <x:fgColor rgb="FF056DAE"/>
      </x:patternFill>
    </x:fill>
  </x:fills>
  <x:borders count="19">
    <x:border/>
    <x:border>
      <x:left style="thin"/>
      <x:right style="thin"/>
      <x:top style="thin"/>
      <x:bottom style="thin"/>
    </x:border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0" fillId="2" borderId="0" xfId="0" applyNumberFormat="1" applyFont="1" applyFill="1" applyBorder="1"/>
    <x:xf numFmtId="0" fontId="0" fillId="2" borderId="2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right" vertical="center"/>
    </x:xf>
    <x:xf numFmtId="0" fontId="6" fillId="2" borderId="2" xfId="0" applyNumberFormat="1" applyFont="1" applyFill="1" applyBorder="1" applyAlignment="1">
      <x:alignment horizontal="right"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7" xfId="0" applyNumberFormat="1" applyFont="1" applyFill="1" applyBorder="1" applyAlignment="1">
      <x:alignment vertical="center"/>
    </x:xf>
    <x:xf numFmtId="0" fontId="3" fillId="5" borderId="8" xfId="0" applyNumberFormat="1" applyFont="1" applyFill="1" applyBorder="1" applyAlignment="1">
      <x:alignment vertical="center"/>
    </x:xf>
    <x:xf numFmtId="0" fontId="3" fillId="5" borderId="9" xfId="0" applyNumberFormat="1" applyFont="1" applyFill="1" applyBorder="1" applyAlignment="1">
      <x:alignment vertical="center"/>
    </x:xf>
    <x:xf numFmtId="0" fontId="3" fillId="5" borderId="10" xfId="0" applyNumberFormat="1" applyFont="1" applyFill="1" applyBorder="1" applyAlignment="1">
      <x:alignment vertical="center"/>
    </x:xf>
    <x:xf numFmtId="0" fontId="3" fillId="5" borderId="11" xfId="0" applyNumberFormat="1" applyFont="1" applyFill="1" applyBorder="1" applyAlignment="1">
      <x:alignment vertical="center"/>
    </x:xf>
    <x:xf numFmtId="0" fontId="3" fillId="5" borderId="12" xfId="0" applyNumberFormat="1" applyFont="1" applyFill="1" applyBorder="1" applyAlignment="1">
      <x:alignment vertical="center"/>
    </x:xf>
    <x:xf numFmtId="0" fontId="3" fillId="5" borderId="13" xfId="0" applyNumberFormat="1" applyFont="1" applyFill="1" applyBorder="1" applyAlignment="1">
      <x:alignment vertical="center"/>
    </x:xf>
    <x:xf numFmtId="0" fontId="3" fillId="5" borderId="14" xfId="0" applyNumberFormat="1" applyFont="1" applyFill="1" applyBorder="1" applyAlignment="1">
      <x:alignment vertical="center"/>
    </x:xf>
    <x:xf numFmtId="0" fontId="3" fillId="5" borderId="15" xfId="0" applyNumberFormat="1" applyFont="1" applyFill="1" applyBorder="1" applyAlignment="1">
      <x:alignment vertical="center"/>
    </x:xf>
    <x:xf numFmtId="0" fontId="3" fillId="5" borderId="16" xfId="0" applyNumberFormat="1" applyFont="1" applyFill="1" applyBorder="1" applyAlignment="1">
      <x:alignment vertical="center"/>
    </x:xf>
    <x:xf numFmtId="0" fontId="3" fillId="5" borderId="17" xfId="0" applyNumberFormat="1" applyFont="1" applyFill="1" applyBorder="1" applyAlignment="1">
      <x:alignment vertical="center"/>
    </x:xf>
    <x:xf numFmtId="0" fontId="3" fillId="5" borderId="18" xfId="0" applyNumberFormat="1" applyFont="1" applyFill="1" applyBorder="1" applyAlignment="1">
      <x:alignment vertical="center"/>
    </x:xf>
    <x:xf numFmtId="0" fontId="3" fillId="6" borderId="3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3" fillId="6" borderId="11" xfId="0" applyNumberFormat="1" applyFont="1" applyFill="1" applyBorder="1" applyAlignment="1">
      <x:alignment vertical="center"/>
    </x:xf>
    <x:xf numFmtId="0" fontId="3" fillId="6" borderId="12" xfId="0" applyNumberFormat="1" applyFont="1" applyFill="1" applyBorder="1" applyAlignment="1">
      <x:alignment vertical="center"/>
    </x:xf>
    <x:xf numFmtId="0" fontId="3" fillId="6" borderId="13" xfId="0" applyNumberFormat="1" applyFont="1" applyFill="1" applyBorder="1" applyAlignment="1">
      <x:alignment vertical="center"/>
    </x:xf>
    <x:xf numFmtId="0" fontId="7" fillId="5" borderId="6" xfId="0" applyNumberFormat="1" applyFont="1" applyFill="1" applyBorder="1" applyAlignment="1">
      <x:alignment vertical="center"/>
    </x:xf>
    <x:xf numFmtId="0" fontId="7" fillId="5" borderId="14" xfId="0" applyNumberFormat="1" applyFont="1" applyFill="1" applyBorder="1" applyAlignment="1">
      <x:alignment vertical="center"/>
    </x:xf>
    <x:xf numFmtId="200" fontId="3" fillId="5" borderId="6" xfId="0" applyNumberFormat="1" applyFont="1" applyFill="1" applyBorder="1" applyAlignment="1">
      <x:alignment vertical="center"/>
    </x:xf>
    <x:xf numFmtId="200" fontId="3" fillId="5" borderId="14" xfId="0" applyNumberFormat="1" applyFont="1" applyFill="1" applyBorder="1" applyAlignment="1">
      <x:alignment vertical="center"/>
    </x:xf>
    <x:xf numFmtId="200" fontId="8" fillId="5" borderId="6" xfId="0" applyNumberFormat="1" applyFont="1" applyFill="1" applyBorder="1" applyAlignment="1">
      <x:alignment vertical="center"/>
    </x:xf>
    <x:xf numFmtId="200" fontId="8" fillId="5" borderId="14" xfId="0" applyNumberFormat="1" applyFont="1" applyFill="1" applyBorder="1" applyAlignment="1">
      <x:alignment vertical="center"/>
    </x:xf>
    <x:xf numFmtId="0" fontId="9" fillId="5" borderId="8" xfId="0" applyNumberFormat="1" applyFont="1" applyFill="1" applyBorder="1" applyAlignment="1">
      <x:alignment vertical="center"/>
    </x:xf>
    <x:xf numFmtId="0" fontId="9" fillId="5" borderId="16" xfId="0" applyNumberFormat="1" applyFont="1" applyFill="1" applyBorder="1" applyAlignment="1">
      <x:alignment vertical="center"/>
    </x:xf>
    <x:xf numFmtId="201" fontId="3" fillId="5" borderId="6" xfId="0" applyNumberFormat="1" applyFont="1" applyFill="1" applyBorder="1" applyAlignment="1">
      <x:alignment vertical="center"/>
    </x:xf>
    <x:xf numFmtId="201" fontId="3" fillId="5" borderId="14" xfId="0" applyNumberFormat="1" applyFont="1" applyFill="1" applyBorder="1" applyAlignment="1">
      <x:alignment vertical="center"/>
    </x:xf>
    <x:xf numFmtId="201" fontId="8" fillId="5" borderId="6" xfId="0" applyNumberFormat="1" applyFont="1" applyFill="1" applyBorder="1" applyAlignment="1">
      <x:alignment vertical="center"/>
    </x:xf>
    <x:xf numFmtId="201" fontId="8" fillId="5" borderId="14" xfId="0" applyNumberFormat="1" applyFont="1" applyFill="1" applyBorder="1" applyAlignment="1">
      <x:alignment vertical="center"/>
    </x:xf>
    <x:xf numFmtId="202" fontId="3" fillId="5" borderId="6" xfId="0" applyNumberFormat="1" applyFont="1" applyFill="1" applyBorder="1" applyAlignment="1">
      <x:alignment vertical="center"/>
    </x:xf>
    <x:xf numFmtId="202" fontId="3" fillId="5" borderId="14" xfId="0" applyNumberFormat="1" applyFont="1" applyFill="1" applyBorder="1" applyAlignment="1">
      <x:alignment vertical="center"/>
    </x:xf>
    <x:xf numFmtId="202" fontId="8" fillId="5" borderId="6" xfId="0" applyNumberFormat="1" applyFont="1" applyFill="1" applyBorder="1" applyAlignment="1">
      <x:alignment vertical="center"/>
    </x:xf>
    <x:xf numFmtId="202" fontId="8" fillId="5" borderId="14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3" fillId="4" borderId="11" xfId="0" applyNumberFormat="1" applyFont="1" applyFill="1" applyBorder="1" applyAlignment="1">
      <x:alignment vertical="center"/>
    </x:xf>
    <x:xf numFmtId="0" fontId="3" fillId="4" borderId="12" xfId="0" applyNumberFormat="1" applyFont="1" applyFill="1" applyBorder="1" applyAlignment="1">
      <x:alignment vertical="center"/>
    </x:xf>
    <x:xf numFmtId="0" fontId="3" fillId="4" borderId="13" xfId="0" applyNumberFormat="1" applyFont="1" applyFill="1" applyBorder="1" applyAlignment="1">
      <x:alignment vertical="center"/>
    </x:xf>
    <x:xf numFmtId="203" fontId="3" fillId="5" borderId="6" xfId="0" applyNumberFormat="1" applyFont="1" applyFill="1" applyBorder="1" applyAlignment="1">
      <x:alignment vertical="center"/>
    </x:xf>
    <x:xf numFmtId="203" fontId="3" fillId="5" borderId="14" xfId="0" applyNumberFormat="1" applyFont="1" applyFill="1" applyBorder="1" applyAlignment="1">
      <x:alignment vertical="center"/>
    </x:xf>
    <x:xf numFmtId="203" fontId="8" fillId="5" borderId="6" xfId="0" applyNumberFormat="1" applyFont="1" applyFill="1" applyBorder="1" applyAlignment="1">
      <x:alignment vertical="center"/>
    </x:xf>
    <x:xf numFmtId="203" fontId="8" fillId="5" borderId="14" xfId="0" applyNumberFormat="1" applyFont="1" applyFill="1" applyBorder="1" applyAlignment="1">
      <x:alignment vertical="center"/>
    </x:xf>
    <x:xf numFmtId="0" fontId="10" fillId="5" borderId="8" xfId="0" applyNumberFormat="1" applyFont="1" applyFill="1" applyBorder="1" applyAlignment="1">
      <x:alignment vertical="center"/>
    </x:xf>
    <x:xf numFmtId="0" fontId="10" fillId="5" borderId="16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11" fillId="5" borderId="2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/>
    </x:xf>
    <x:xf numFmtId="0" fontId="12" fillId="3" borderId="2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7" fillId="5" borderId="11" xfId="0" applyNumberFormat="1" applyFont="1" applyFill="1" applyBorder="1" applyAlignment="1">
      <x:alignment vertical="center"/>
    </x:xf>
    <x:xf numFmtId="204" fontId="3" fillId="5" borderId="6" xfId="0" applyNumberFormat="1" applyFont="1" applyFill="1" applyBorder="1" applyAlignment="1">
      <x:alignment vertical="center"/>
    </x:xf>
    <x:xf numFmtId="204" fontId="3" fillId="5" borderId="14" xfId="0" applyNumberFormat="1" applyFont="1" applyFill="1" applyBorder="1" applyAlignment="1">
      <x:alignment vertical="center"/>
    </x:xf>
    <x:xf numFmtId="204" fontId="13" fillId="5" borderId="6" xfId="0" applyNumberFormat="1" applyFont="1" applyFill="1" applyBorder="1" applyAlignment="1">
      <x:alignment vertical="center"/>
    </x:xf>
    <x:xf numFmtId="204" fontId="13" fillId="5" borderId="14" xfId="0" applyNumberFormat="1" applyFont="1" applyFill="1" applyBorder="1" applyAlignment="1">
      <x:alignment vertical="center"/>
    </x:xf>
    <x:xf numFmtId="0" fontId="14" fillId="5" borderId="8" xfId="0" applyNumberFormat="1" applyFont="1" applyFill="1" applyBorder="1" applyAlignment="1">
      <x:alignment vertical="center"/>
    </x:xf>
    <x:xf numFmtId="0" fontId="14" fillId="5" borderId="16" xfId="0" applyNumberFormat="1" applyFont="1" applyFill="1" applyBorder="1" applyAlignment="1">
      <x:alignment vertical="center"/>
    </x:xf>
    <x:xf numFmtId="0" fontId="14" fillId="5" borderId="8" xfId="0" applyNumberFormat="1" applyFont="1" applyFill="1" applyBorder="1" applyAlignment="1">
      <x:alignment vertical="center" wrapText="1"/>
    </x:xf>
    <x:xf numFmtId="0" fontId="14" fillId="5" borderId="16" xfId="0" applyNumberFormat="1" applyFont="1" applyFill="1" applyBorder="1" applyAlignment="1">
      <x:alignment vertical="center" wrapText="1"/>
    </x:xf>
    <x:xf numFmtId="201" fontId="13" fillId="5" borderId="6" xfId="0" applyNumberFormat="1" applyFont="1" applyFill="1" applyBorder="1" applyAlignment="1">
      <x:alignment vertical="center"/>
    </x:xf>
    <x:xf numFmtId="201" fontId="13" fillId="5" borderId="14" xfId="0" applyNumberFormat="1" applyFont="1" applyFill="1" applyBorder="1" applyAlignment="1">
      <x:alignment vertical="center"/>
    </x:xf>
    <x:xf numFmtId="205" fontId="3" fillId="5" borderId="6" xfId="0" applyNumberFormat="1" applyFont="1" applyFill="1" applyBorder="1" applyAlignment="1">
      <x:alignment vertical="center"/>
    </x:xf>
    <x:xf numFmtId="205" fontId="3" fillId="5" borderId="14" xfId="0" applyNumberFormat="1" applyFont="1" applyFill="1" applyBorder="1" applyAlignment="1">
      <x:alignment vertical="center"/>
    </x:xf>
    <x:xf numFmtId="205" fontId="13" fillId="5" borderId="6" xfId="0" applyNumberFormat="1" applyFont="1" applyFill="1" applyBorder="1" applyAlignment="1">
      <x:alignment vertical="center"/>
    </x:xf>
    <x:xf numFmtId="205" fontId="13" fillId="5" borderId="14" xfId="0" applyNumberFormat="1" applyFont="1" applyFill="1" applyBorder="1" applyAlignment="1">
      <x:alignment vertical="center"/>
    </x:xf>
    <x:xf numFmtId="0" fontId="15" fillId="2" borderId="0" xfId="0" applyNumberFormat="1" applyFont="1" applyFill="1" applyBorder="1" applyAlignment="1">
      <x:alignment vertical="center"/>
    </x:xf>
    <x:xf numFmtId="0" fontId="15" fillId="2" borderId="2" xfId="0" applyNumberFormat="1" applyFont="1" applyFill="1" applyBorder="1" applyAlignment="1">
      <x:alignment vertical="center"/>
    </x:xf>
    <x:xf numFmtId="0" fontId="15" fillId="2" borderId="0" xfId="0" applyNumberFormat="1" applyFont="1" applyFill="1" applyBorder="1" applyAlignment="1">
      <x:alignment vertical="center" wrapText="1"/>
    </x:xf>
    <x:xf numFmtId="0" fontId="15" fillId="2" borderId="2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e4192cafe84da9" /><Relationship Type="http://schemas.openxmlformats.org/officeDocument/2006/relationships/theme" Target="/xl/theme/theme1.xml" Id="R98c9677ebc6a44a4" /><Relationship Type="http://schemas.openxmlformats.org/officeDocument/2006/relationships/sharedStrings" Target="/xl/sharedStrings.xml" Id="R95003a8aed974428" /><Relationship Type="http://schemas.openxmlformats.org/officeDocument/2006/relationships/worksheet" Target="/xl/worksheets/sheet1.xml" Id="R4fc998b0eb6842d1" /><Relationship Type="http://schemas.openxmlformats.org/officeDocument/2006/relationships/worksheet" Target="/xl/worksheets/sheet2.xml" Id="R1280717c6ccf4cab" /><Relationship Type="http://schemas.openxmlformats.org/officeDocument/2006/relationships/worksheet" Target="/xl/worksheets/sheet3.xml" Id="R6818b7a87b364175" /><Relationship Type="http://schemas.openxmlformats.org/officeDocument/2006/relationships/worksheet" Target="/xl/worksheets/sheet4.xml" Id="R52ce2b85ea2a454c" /><Relationship Type="http://schemas.openxmlformats.org/officeDocument/2006/relationships/worksheet" Target="/xl/worksheets/sheet5.xml" Id="R982928daecd64d09" /><Relationship Type="http://schemas.openxmlformats.org/officeDocument/2006/relationships/worksheet" Target="/xl/worksheets/sheet6.xml" Id="R69f0394a81c44971" /><Relationship Type="http://schemas.openxmlformats.org/officeDocument/2006/relationships/worksheet" Target="/xl/worksheets/sheet7.xml" Id="R9760dea372a04168" /><Relationship Type="http://schemas.openxmlformats.org/officeDocument/2006/relationships/worksheet" Target="/xl/worksheets/sheet8.xml" Id="Readc9670dc0448e8" /><Relationship Type="http://schemas.openxmlformats.org/officeDocument/2006/relationships/worksheet" Target="/xl/worksheets/sheet9.xml" Id="Rb42828e59207438b" /><Relationship Type="http://schemas.openxmlformats.org/officeDocument/2006/relationships/worksheet" Target="/xl/worksheets/sheet10.xml" Id="Rce6a146b6a624b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e42c0f0a2f43c3" /><Relationship Type="http://schemas.openxmlformats.org/officeDocument/2006/relationships/chart" Target="/xl/drawings/charts/chart2.xml" Id="R35e9092e64774470" /><Relationship Type="http://schemas.openxmlformats.org/officeDocument/2006/relationships/chart" Target="/xl/drawings/charts/chart3.xml" Id="R663c15267f014c6e" /><Relationship Type="http://schemas.openxmlformats.org/officeDocument/2006/relationships/chart" Target="/xl/drawings/charts/chart4.xml" Id="Ref7e8779e2b14ac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Assets vs Deposits ($T)</a:t>
            </a:r>
          </a:p>
        </c:rich>
      </c:tx>
    </c:title>
    <c:plotArea>
      <c:lineChart>
        <c:grouping val="standard"/>
        <c:ser>
          <c:idx val="0"/>
          <c:order val="0"/>
          <c:tx>
            <c:v>Assets ($T)</c:v>
          </c:tx>
          <c:marker>
            <c:symbol val="none"/>
          </c:marker>
          <c:cat>
            <c:strRef>
              <c:f>'_ChartData'!$A$2:$A$6</c:f>
              <c:strCache>
                <c:ptCount val="0"/>
              </c:strCache>
            </c:strRef>
          </c:cat>
          <c:val>
            <c:numRef>
              <c:f>'_ChartData'!$B$2:$B$6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Deposits ($T)</c:v>
          </c:tx>
          <c:marker>
            <c:symbol val="none"/>
          </c:marker>
          <c:cat>
            <c:strRef>
              <c:f>'_ChartData'!$A$2:$A$6</c:f>
              <c:strCache>
                <c:ptCount val="0"/>
              </c:strCache>
            </c:strRef>
          </c:cat>
          <c:val>
            <c:numRef>
              <c:f>'_ChartData'!$C$2:$C$6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Returns: ROA vs ROE (%)</a:t>
            </a:r>
          </a:p>
        </c:rich>
      </c:tx>
    </c:title>
    <c:plotArea>
      <c:lineChart>
        <c:grouping val="standard"/>
        <c:ser>
          <c:idx val="0"/>
          <c:order val="0"/>
          <c:tx>
            <c:v>ROA %</c:v>
          </c:tx>
          <c:marker>
            <c:symbol val="none"/>
          </c:marker>
          <c:cat>
            <c:strRef>
              <c:f>'_ChartData'!$E$2:$E$6</c:f>
              <c:strCache>
                <c:ptCount val="0"/>
              </c:strCache>
            </c:strRef>
          </c:cat>
          <c:val>
            <c:numRef>
              <c:f>'_ChartData'!$F$2:$F$6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ROE %</c:v>
          </c:tx>
          <c:marker>
            <c:symbol val="none"/>
          </c:marker>
          <c:cat>
            <c:strRef>
              <c:f>'_ChartData'!$E$2:$E$6</c:f>
              <c:strCache>
                <c:ptCount val="0"/>
              </c:strCache>
            </c:strRef>
          </c:cat>
          <c:val>
            <c:numRef>
              <c:f>'_ChartData'!$G$2:$G$6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What makes up the 2025 asset base? ($T)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2025 Assets ($T)</c:v>
          </c:tx>
          <c:cat>
            <c:strRef>
              <c:f>'_ChartData'!$I$2:$I$7</c:f>
              <c:strCache>
                <c:ptCount val="0"/>
              </c:strCache>
            </c:strRef>
          </c:cat>
          <c:val>
            <c:numRef>
              <c:f>'_ChartData'!$J$2:$J$7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Reported Revenue Growth Highlights (%)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Revenue growth %</c:v>
          </c:tx>
          <c:cat>
            <c:strRef>
              <c:f>'_ChartData'!$L$2:$L$4</c:f>
              <c:strCache>
                <c:ptCount val="0"/>
              </c:strCache>
            </c:strRef>
          </c:cat>
          <c:val>
            <c:numRef>
              <c:f>'_ChartData'!$M$2:$M$4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e42c0f0a2f43c3"/>
        </a:graphicData>
      </a:graphic>
    </xdr:graphicFrame>
    <xdr:clientData/>
  </xdr:twoCellAnchor>
  <xdr:twoCellAnchor>
    <xdr:from>
      <xdr:col>12</xdr:col>
      <xdr:colOff>0</xdr:colOff>
      <xdr:row>12</xdr:row>
      <xdr:rowOff>0</xdr:rowOff>
    </xdr:from>
    <xdr:to>
      <xdr:col>24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e9092e64774470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3c15267f014c6e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24</xdr:col>
      <xdr:colOff>0</xdr:colOff>
      <xdr:row>38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7e8779e2b14ac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db3c62395d4e469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0" customWidth="1"/>
    <x:col min="3" max="3" width="22" customWidth="1"/>
    <x:col min="4" max="4" width="22" customWidth="1"/>
    <x:col min="5" max="5" width="21" customWidth="1"/>
    <x:col min="6" max="6" width="22" customWidth="1"/>
    <x:col min="7" max="7" width="19" customWidth="1"/>
    <x:col min="8" max="8" width="13" customWidth="1"/>
    <x:col min="9" max="9" width="20" customWidth="1"/>
    <x:col min="10" max="10" width="15" customWidth="1"/>
    <x:col min="11" max="11" width="18" customWidth="1"/>
  </x:cols>
  <x:sheetData>
    <x:row r="1">
      <x:c r="A1" s="1" t="inlineStr">
        <x:is>
          <x:t xml:space="preserve">Year</x:t>
        </x:is>
      </x:c>
      <x:c r="B1" s="1" t="inlineStr">
        <x:is>
          <x:t xml:space="preserve">Total_Assets_USD_M</x:t>
        </x:is>
      </x:c>
      <x:c r="C1" s="1" t="inlineStr">
        <x:is>
          <x:t xml:space="preserve">Total_Deposits_USD_M</x:t>
        </x:is>
      </x:c>
      <x:c r="D1" s="1" t="inlineStr">
        <x:is>
          <x:t xml:space="preserve">Long_Term_Debt_USD_M</x:t>
        </x:is>
      </x:c>
      <x:c r="E1" s="1" t="inlineStr">
        <x:is>
          <x:t xml:space="preserve">Common_Equity_USD_M</x:t>
        </x:is>
      </x:c>
      <x:c r="F1" s="1" t="inlineStr">
        <x:is>
          <x:t xml:space="preserve">Average_Assets_USD_M</x:t>
        </x:is>
      </x:c>
      <x:c r="G1" s="1" t="inlineStr">
        <x:is>
          <x:t xml:space="preserve">Direct_Staff_000s</x:t>
        </x:is>
      </x:c>
      <x:c r="H1" s="1" t="inlineStr">
        <x:is>
          <x:t xml:space="preserve">ROA_Percent</x:t>
        </x:is>
      </x:c>
      <x:c r="I1" s="1" t="inlineStr">
        <x:is>
          <x:t xml:space="preserve">ROE_Common_Percent</x:t>
        </x:is>
      </x:c>
      <x:c r="J1" s="1" t="inlineStr">
        <x:is>
          <x:t xml:space="preserve">Revenue_USD_B</x:t>
        </x:is>
      </x:c>
      <x:c r="K1" s="1" t="inlineStr">
        <x:is>
          <x:t xml:space="preserve">Net_Income_USD_B</x:t>
        </x:is>
      </x:c>
    </x:row>
    <x:row r="2">
      <x:c r="A2" t="n">
        <x:v>2021</x:v>
      </x:c>
      <x:c r="B2" t="n">
        <x:v>2291413</x:v>
      </x:c>
      <x:c r="C2" t="n">
        <x:v>1317230</x:v>
      </x:c>
      <x:c r="D2" t="n">
        <x:v>254374</x:v>
      </x:c>
      <x:c r="E2" t="n">
        <x:v>182977</x:v>
      </x:c>
      <x:c r="F2" t="n">
        <x:v>2347709</x:v>
      </x:c>
      <x:c r="G2" t="n">
        <x:v>223</x:v>
      </x:c>
      <x:c r="H2" t="n">
        <x:v>0.9399999999999999</x:v>
      </x:c>
      <x:c r="I2" t="n">
        <x:v>11.5</x:v>
      </x:c>
    </x:row>
    <x:row r="3">
      <x:c r="A3" t="n">
        <x:v>2022</x:v>
      </x:c>
      <x:c r="B3" t="n">
        <x:v>2416676</x:v>
      </x:c>
      <x:c r="C3" t="n">
        <x:v>1365954</x:v>
      </x:c>
      <x:c r="D3" t="n">
        <x:v>271606</x:v>
      </x:c>
      <x:c r="E3" t="n">
        <x:v>182194</x:v>
      </x:c>
      <x:c r="F3" t="n">
        <x:v>2396023</x:v>
      </x:c>
      <x:c r="G3" t="n">
        <x:v>240</x:v>
      </x:c>
      <x:c r="H3" t="n">
        <x:v>0.62</x:v>
      </x:c>
      <x:c r="I3" t="n">
        <x:v>7.7</x:v>
      </x:c>
    </x:row>
    <x:row r="4">
      <x:c r="A4" t="n">
        <x:v>2023</x:v>
      </x:c>
      <x:c r="B4" t="n">
        <x:v>2411834</x:v>
      </x:c>
      <x:c r="C4" t="n">
        <x:v>1308681</x:v>
      </x:c>
      <x:c r="D4" t="n">
        <x:v>286619</x:v>
      </x:c>
      <x:c r="E4" t="n">
        <x:v>187853</x:v>
      </x:c>
      <x:c r="F4" t="n">
        <x:v>2442233</x:v>
      </x:c>
      <x:c r="G4" t="n">
        <x:v>239</x:v>
      </x:c>
      <x:c r="H4" t="n">
        <x:v>0.38</x:v>
      </x:c>
      <x:c r="I4" t="n">
        <x:v>4.3</x:v>
      </x:c>
    </x:row>
    <x:row r="5">
      <x:c r="A5" t="n">
        <x:v>2024</x:v>
      </x:c>
      <x:c r="B5" t="n">
        <x:v>2352945</x:v>
      </x:c>
      <x:c r="C5" t="n">
        <x:v>1284458</x:v>
      </x:c>
      <x:c r="D5" t="n">
        <x:v>287300</x:v>
      </x:c>
      <x:c r="E5" t="n">
        <x:v>190748</x:v>
      </x:c>
      <x:c r="F5" t="n">
        <x:v>2468431</x:v>
      </x:c>
      <x:c r="G5" t="n">
        <x:v>229</x:v>
      </x:c>
      <x:c r="H5" t="n">
        <x:v>0.51</x:v>
      </x:c>
      <x:c r="I5" t="n">
        <x:v>6.1</x:v>
      </x:c>
      <x:c r="J5" t="n">
        <x:v>81.09999999999999</x:v>
      </x:c>
      <x:c r="K5" t="n">
        <x:v>12.7</x:v>
      </x:c>
    </x:row>
    <x:row r="6">
      <x:c r="A6" t="n">
        <x:v>2025</x:v>
      </x:c>
      <x:c r="B6" t="n">
        <x:v>2657202</x:v>
      </x:c>
      <x:c r="C6" t="n">
        <x:v>1403573</x:v>
      </x:c>
      <x:c r="D6" t="n">
        <x:v>315827</x:v>
      </x:c>
      <x:c r="E6" t="n">
        <x:v>192241</x:v>
      </x:c>
      <x:c r="F6" t="n">
        <x:v>2644069</x:v>
      </x:c>
      <x:c r="G6" t="n">
        <x:v>226</x:v>
      </x:c>
      <x:c r="H6" t="n">
        <x:v>0.54</x:v>
      </x:c>
      <x:c r="I6" t="n">
        <x:v>6.8</x:v>
      </x:c>
      <x:c r="J6" t="n">
        <x:v>85.2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55" customWidth="1"/>
    <x:col min="2" max="2" width="12" customWidth="1"/>
  </x:cols>
  <x:sheetData>
    <x:row r="1">
      <x:c r="A1" s="1" t="inlineStr">
        <x:is>
          <x:t xml:space="preserve">Balance_Sheet_Item</x:t>
        </x:is>
      </x:c>
      <x:c r="B1" s="1" t="inlineStr">
        <x:is>
          <x:t xml:space="preserve">USD_M</x:t>
        </x:is>
      </x:c>
    </x:row>
    <x:row r="2">
      <x:c r="A2" t="inlineStr">
        <x:is>
          <x:t xml:space="preserve">Cash and deposits with banks</x:t>
        </x:is>
      </x:c>
      <x:c r="B2" t="n">
        <x:v>349579</x:v>
      </x:c>
    </x:row>
    <x:row r="3">
      <x:c r="A3" t="inlineStr">
        <x:is>
          <x:t xml:space="preserve">Securities borrowed and purchased under agreements to resell</x:t>
        </x:is>
      </x:c>
      <x:c r="B3" t="n">
        <x:v>356195</x:v>
      </x:c>
    </x:row>
    <x:row r="4">
      <x:c r="A4" t="inlineStr">
        <x:is>
          <x:t xml:space="preserve">Trading account assets</x:t>
        </x:is>
      </x:c>
      <x:c r="B4" t="n">
        <x:v>537139</x:v>
      </x:c>
    </x:row>
    <x:row r="5">
      <x:c r="A5" t="inlineStr">
        <x:is>
          <x:t xml:space="preserve">Investments</x:t>
        </x:is>
      </x:c>
      <x:c r="B5" t="n">
        <x:v>444229</x:v>
      </x:c>
    </x:row>
    <x:row r="6">
      <x:c r="A6" t="inlineStr">
        <x:is>
          <x:t xml:space="preserve">Loans, net</x:t>
        </x:is>
      </x:c>
      <x:c r="B6" t="n">
        <x:v>732983</x:v>
      </x:c>
    </x:row>
    <x:row r="7">
      <x:c r="A7" t="inlineStr">
        <x:is>
          <x:t xml:space="preserve">All other assets</x:t>
        </x:is>
      </x:c>
      <x:c r="B7" t="n">
        <x:v>237077</x:v>
      </x:c>
    </x:row>
    <x:row r="8">
      <x:c r="A8" t="inlineStr">
        <x:is>
          <x:t xml:space="preserve">Total assets</x:t>
        </x:is>
      </x:c>
      <x:c r="B8" t="n">
        <x:v>2657202</x:v>
      </x:c>
    </x:row>
    <x:row r="9">
      <x:c r="A9" t="inlineStr">
        <x:is>
          <x:t xml:space="preserve">Total deposits</x:t>
        </x:is>
      </x:c>
      <x:c r="B9" t="n">
        <x:v>1403573</x:v>
      </x:c>
    </x:row>
    <x:row r="10">
      <x:c r="A10" t="inlineStr">
        <x:is>
          <x:t xml:space="preserve">Securities loaned and sold under agreements to repurchase</x:t>
        </x:is>
      </x:c>
      <x:c r="B10" t="n">
        <x:v>348098</x:v>
      </x:c>
    </x:row>
    <x:row r="11">
      <x:c r="A11" t="inlineStr">
        <x:is>
          <x:t xml:space="preserve">Trading account liabilities</x:t>
        </x:is>
      </x:c>
      <x:c r="B11" t="n">
        <x:v>162798</x:v>
      </x:c>
    </x:row>
    <x:row r="12">
      <x:c r="A12" t="inlineStr">
        <x:is>
          <x:t xml:space="preserve">Short-term borrowings</x:t>
        </x:is>
      </x:c>
      <x:c r="B12" t="n">
        <x:v>51878</x:v>
      </x:c>
    </x:row>
    <x:row r="13">
      <x:c r="A13" t="inlineStr">
        <x:is>
          <x:t xml:space="preserve">Long-term debt</x:t>
        </x:is>
      </x:c>
      <x:c r="B13" t="n">
        <x:v>315827</x:v>
      </x:c>
    </x:row>
    <x:row r="14">
      <x:c r="A14" t="inlineStr">
        <x:is>
          <x:t xml:space="preserve">All other liabilities</x:t>
        </x:is>
      </x:c>
      <x:c r="B14" t="n">
        <x:v>161206</x:v>
      </x:c>
    </x:row>
    <x:row r="15">
      <x:c r="A15" t="inlineStr">
        <x:is>
          <x:t xml:space="preserve">Total liabilities</x:t>
        </x:is>
      </x:c>
      <x:c r="B15" t="n">
        <x:v>2443380</x:v>
      </x:c>
    </x:row>
    <x:row r="16">
      <x:c r="A16" t="inlineStr">
        <x:is>
          <x:t xml:space="preserve">Common equity</x:t>
        </x:is>
      </x:c>
      <x:c r="B16" t="n">
        <x:v>192241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5" customWidth="1"/>
    <x:col min="3" max="3" width="24" customWidth="1"/>
    <x:col min="4" max="4" width="15" customWidth="1"/>
    <x:col min="5" max="5" width="21" customWidth="1"/>
    <x:col min="6" max="6" width="24" customWidth="1"/>
    <x:col min="7" max="7" width="55" customWidth="1"/>
  </x:cols>
  <x:sheetData>
    <x:row r="1">
      <x:c r="A1" s="1" t="inlineStr">
        <x:is>
          <x:t xml:space="preserve">Year</x:t>
        </x:is>
      </x:c>
      <x:c r="B1" s="1" t="inlineStr">
        <x:is>
          <x:t xml:space="preserve">Revenue_USD_B</x:t>
        </x:is>
      </x:c>
      <x:c r="C1" s="1" t="inlineStr">
        <x:is>
          <x:t xml:space="preserve">Capital_Returned_USD_B</x:t>
        </x:is>
      </x:c>
      <x:c r="D1" s="1" t="inlineStr">
        <x:is>
          <x:t xml:space="preserve">RoTCE_Percent</x:t>
        </x:is>
      </x:c>
      <x:c r="E1" s="1" t="inlineStr">
        <x:is>
          <x:t xml:space="preserve">Average_Loans_USD_B</x:t>
        </x:is>
      </x:c>
      <x:c r="F1" s="1" t="inlineStr">
        <x:is>
          <x:t xml:space="preserve">Average_Deposits_USD_B</x:t>
        </x:is>
      </x:c>
      <x:c r="G1" s="1" t="inlineStr">
        <x:is>
          <x:t xml:space="preserve">Management_Commentary</x:t>
        </x:is>
      </x:c>
    </x:row>
    <x:row r="2">
      <x:c r="A2" t="n">
        <x:v>2024</x:v>
      </x:c>
      <x:c r="G2" t="inlineStr">
        <x:is>
          <x:t xml:space="preserve">Record revenues in Services, Wealth and U.S. Personal Banking</x:t>
        </x:is>
      </x:c>
    </x:row>
    <x:row r="3">
      <x:c r="A3" t="n">
        <x:v>2025</x:v>
      </x:c>
      <x:c r="B3" t="n">
        <x:v>85.2</x:v>
      </x:c>
      <x:c r="C3" t="n">
        <x:v>17.6</x:v>
      </x:c>
      <x:c r="D3" t="n">
        <x:v>7.7</x:v>
      </x:c>
      <x:c r="E3" t="n">
        <x:v>716</x:v>
      </x:c>
      <x:c r="F3" t="n">
        <x:v>1400</x:v>
      </x:c>
      <x:c r="G3" t="inlineStr">
        <x:is>
          <x:t xml:space="preserve">Record revenue in each of Citi's five businesses; adjusted revenue up 7%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3" customWidth="1"/>
    <x:col min="2" max="2" width="55" customWidth="1"/>
    <x:col min="3" max="3" width="55" customWidth="1"/>
  </x:cols>
  <x:sheetData>
    <x:row r="1">
      <x:c r="A1" s="1" t="inlineStr">
        <x:is>
          <x:t xml:space="preserve">Business</x:t>
        </x:is>
      </x:c>
      <x:c r="B1" s="1" t="inlineStr">
        <x:is>
          <x:t xml:space="preserve">Key_Areas</x:t>
        </x:is>
      </x:c>
      <x:c r="C1" s="1" t="inlineStr">
        <x:is>
          <x:t xml:space="preserve">Public_Description</x:t>
        </x:is>
      </x:c>
    </x:row>
    <x:row r="2">
      <x:c r="A2" t="inlineStr">
        <x:is>
          <x:t xml:space="preserve">Services</x:t>
        </x:is>
      </x:c>
      <x:c r="B2" t="inlineStr">
        <x:is>
          <x:t xml:space="preserve">Treasury &amp; Trade Solutions; Securities Services</x:t>
        </x:is>
      </x:c>
      <x:c r="C2" t="inlineStr">
        <x:is>
          <x:t xml:space="preserve">Payments, liquidity management, trade/working capital and securities services</x:t>
        </x:is>
      </x:c>
    </x:row>
    <x:row r="3">
      <x:c r="A3" t="inlineStr">
        <x:is>
          <x:t xml:space="preserve">Markets</x:t>
        </x:is>
      </x:c>
      <x:c r="B3" t="inlineStr">
        <x:is>
          <x:t xml:space="preserve">Fixed Income; Equities</x:t>
        </x:is>
      </x:c>
      <x:c r="C3" t="inlineStr">
        <x:is>
          <x:t xml:space="preserve">Global markets and trading activities</x:t>
        </x:is>
      </x:c>
    </x:row>
    <x:row r="4">
      <x:c r="A4" t="inlineStr">
        <x:is>
          <x:t xml:space="preserve">Banking</x:t>
        </x:is>
      </x:c>
      <x:c r="B4" t="inlineStr">
        <x:is>
          <x:t xml:space="preserve">Investment Banking; Corporate Banking; Commercial Banking</x:t>
        </x:is>
      </x:c>
      <x:c r="C4" t="inlineStr">
        <x:is>
          <x:t xml:space="preserve">Advisory, capital markets and corporate/commercial banking</x:t>
        </x:is>
      </x:c>
    </x:row>
    <x:row r="5">
      <x:c r="A5" t="inlineStr">
        <x:is>
          <x:t xml:space="preserve">Wealth</x:t>
        </x:is>
      </x:c>
      <x:c r="B5" t="inlineStr">
        <x:is>
          <x:t xml:space="preserve">Private Bank; Wealth Management</x:t>
        </x:is>
      </x:c>
      <x:c r="C5" t="inlineStr">
        <x:is>
          <x:t xml:space="preserve">Investment, lending and wealth services</x:t>
        </x:is>
      </x:c>
    </x:row>
    <x:row r="6">
      <x:c r="A6" t="inlineStr">
        <x:is>
          <x:t xml:space="preserve">U.S. Personal Banking</x:t>
        </x:is>
      </x:c>
      <x:c r="B6" t="inlineStr">
        <x:is>
          <x:t xml:space="preserve">U.S. Cards and related consumer businesses</x:t>
        </x:is>
      </x:c>
      <x:c r="C6" t="inlineStr">
        <x:is>
          <x:t xml:space="preserve">Consumer banking/card activities; structure changes announced for 2026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25" customWidth="1"/>
    <x:col min="4" max="4" width="12" customWidth="1"/>
    <x:col min="5" max="5" width="14" customWidth="1"/>
    <x:col min="6" max="6" width="25" customWidth="1"/>
  </x:cols>
  <x:sheetData>
    <x:row r="1">
      <x:c r="A1" s="1" t="inlineStr">
        <x:is>
          <x:t xml:space="preserve">Year</x:t>
        </x:is>
      </x:c>
      <x:c r="B1" s="1" t="inlineStr">
        <x:is>
          <x:t xml:space="preserve">Business</x:t>
        </x:is>
      </x:c>
      <x:c r="C1" s="1" t="inlineStr">
        <x:is>
          <x:t xml:space="preserve">Metric</x:t>
        </x:is>
      </x:c>
      <x:c r="D1" s="1" t="inlineStr">
        <x:is>
          <x:t xml:space="preserve">Value</x:t>
        </x:is>
      </x:c>
      <x:c r="E1" s="1" t="inlineStr">
        <x:is>
          <x:t xml:space="preserve">Unit</x:t>
        </x:is>
      </x:c>
      <x:c r="F1" s="1" t="inlineStr">
        <x:is>
          <x:t xml:space="preserve">Source_Note</x:t>
        </x:is>
      </x:c>
    </x:row>
    <x:row r="2">
      <x:c r="A2" t="n">
        <x:v>2024</x:v>
      </x:c>
      <x:c r="B2" t="inlineStr">
        <x:is>
          <x:t xml:space="preserve">Services</x:t>
        </x:is>
      </x:c>
      <x:c r="C2" t="inlineStr">
        <x:is>
          <x:t xml:space="preserve">Revenue growth</x:t>
        </x:is>
      </x:c>
      <x:c r="D2" t="n">
        <x:v>9</x:v>
      </x:c>
      <x:c r="E2" t="inlineStr">
        <x:is>
          <x:t xml:space="preserve">Percent</x:t>
        </x:is>
      </x:c>
      <x:c r="F2" t="inlineStr">
        <x:is>
          <x:t xml:space="preserve">Citi 2024 Annual Report</x:t>
        </x:is>
      </x:c>
    </x:row>
    <x:row r="3">
      <x:c r="A3" t="n">
        <x:v>2024</x:v>
      </x:c>
      <x:c r="B3" t="inlineStr">
        <x:is>
          <x:t xml:space="preserve">Markets</x:t>
        </x:is>
      </x:c>
      <x:c r="C3" t="inlineStr">
        <x:is>
          <x:t xml:space="preserve">Revenue growth</x:t>
        </x:is>
      </x:c>
      <x:c r="D3" t="n">
        <x:v>6</x:v>
      </x:c>
      <x:c r="E3" t="inlineStr">
        <x:is>
          <x:t xml:space="preserve">Percent</x:t>
        </x:is>
      </x:c>
      <x:c r="F3" t="inlineStr">
        <x:is>
          <x:t xml:space="preserve">Citi 2024 Annual Report</x:t>
        </x:is>
      </x:c>
    </x:row>
    <x:row r="4">
      <x:c r="A4" t="n">
        <x:v>2025</x:v>
      </x:c>
      <x:c r="B4" t="inlineStr">
        <x:is>
          <x:t xml:space="preserve">Banking</x:t>
        </x:is>
      </x:c>
      <x:c r="C4" t="inlineStr">
        <x:is>
          <x:t xml:space="preserve">Revenue growth</x:t>
        </x:is>
      </x:c>
      <x:c r="D4" t="n">
        <x:v>32</x:v>
      </x:c>
      <x:c r="E4" t="inlineStr">
        <x:is>
          <x:t xml:space="preserve">Percent</x:t>
        </x:is>
      </x:c>
      <x:c r="F4" t="inlineStr">
        <x:is>
          <x:t xml:space="preserve">Citi 2025 Annual Report</x:t>
        </x:is>
      </x:c>
    </x:row>
    <x:row r="5">
      <x:c r="A5" t="n">
        <x:v>2025</x:v>
      </x:c>
      <x:c r="B5" t="inlineStr">
        <x:is>
          <x:t xml:space="preserve">Firm</x:t>
        </x:is>
      </x:c>
      <x:c r="C5" t="inlineStr">
        <x:is>
          <x:t xml:space="preserve">Revenue</x:t>
        </x:is>
      </x:c>
      <x:c r="D5" t="n">
        <x:v>85.2</x:v>
      </x:c>
      <x:c r="E5" t="inlineStr">
        <x:is>
          <x:t xml:space="preserve">USD billions</x:t>
        </x:is>
      </x:c>
      <x:c r="F5" t="inlineStr">
        <x:is>
          <x:t xml:space="preserve">Citi 2025 Annual Report</x:t>
        </x:is>
      </x:c>
    </x:row>
    <x:row r="6">
      <x:c r="A6" t="n">
        <x:v>2025</x:v>
      </x:c>
      <x:c r="B6" t="inlineStr">
        <x:is>
          <x:t xml:space="preserve">Firm</x:t>
        </x:is>
      </x:c>
      <x:c r="C6" t="inlineStr">
        <x:is>
          <x:t xml:space="preserve">Adjusted revenue growth</x:t>
        </x:is>
      </x:c>
      <x:c r="D6" t="n">
        <x:v>7</x:v>
      </x:c>
      <x:c r="E6" t="inlineStr">
        <x:is>
          <x:t xml:space="preserve">Percent</x:t>
        </x:is>
      </x:c>
      <x:c r="F6" t="inlineStr">
        <x:is>
          <x:t xml:space="preserve">Citi 2025 Annual Report</x:t>
        </x:is>
      </x:c>
    </x:row>
    <x:row r="7">
      <x:c r="A7" t="n">
        <x:v>2025</x:v>
      </x:c>
      <x:c r="B7" t="inlineStr">
        <x:is>
          <x:t xml:space="preserve">Firm</x:t>
        </x:is>
      </x:c>
      <x:c r="C7" t="inlineStr">
        <x:is>
          <x:t xml:space="preserve">RoTCE</x:t>
        </x:is>
      </x:c>
      <x:c r="D7" t="n">
        <x:v>7.7</x:v>
      </x:c>
      <x:c r="E7" t="inlineStr">
        <x:is>
          <x:t xml:space="preserve">Percent</x:t>
        </x:is>
      </x:c>
      <x:c r="F7" t="inlineStr">
        <x:is>
          <x:t xml:space="preserve">Citi 2025 Annual Report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8" customWidth="1"/>
    <x:col min="3" max="3" width="12" customWidth="1"/>
    <x:col min="4" max="4" width="14" customWidth="1"/>
  </x:cols>
  <x:sheetData>
    <x:row r="1">
      <x:c r="A1" s="1" t="inlineStr">
        <x:is>
          <x:t xml:space="preserve">Year</x:t>
        </x:is>
      </x:c>
      <x:c r="B1" s="1" t="inlineStr">
        <x:is>
          <x:t xml:space="preserve">Metric</x:t>
        </x:is>
      </x:c>
      <x:c r="C1" s="1" t="inlineStr">
        <x:is>
          <x:t xml:space="preserve">Value</x:t>
        </x:is>
      </x:c>
      <x:c r="D1" s="1" t="inlineStr">
        <x:is>
          <x:t xml:space="preserve">Unit</x:t>
        </x:is>
      </x:c>
    </x:row>
    <x:row r="2">
      <x:c r="A2" t="n">
        <x:v>2025</x:v>
      </x:c>
      <x:c r="B2" t="inlineStr">
        <x:is>
          <x:t xml:space="preserve">Average Loans</x:t>
        </x:is>
      </x:c>
      <x:c r="C2" t="n">
        <x:v>716</x:v>
      </x:c>
      <x:c r="D2" t="inlineStr">
        <x:is>
          <x:t xml:space="preserve">USD billions</x:t>
        </x:is>
      </x:c>
    </x:row>
    <x:row r="3">
      <x:c r="A3" t="n">
        <x:v>2025</x:v>
      </x:c>
      <x:c r="B3" t="inlineStr">
        <x:is>
          <x:t xml:space="preserve">Average Deposits</x:t>
        </x:is>
      </x:c>
      <x:c r="C3" t="n">
        <x:v>1400</x:v>
      </x:c>
      <x:c r="D3" t="inlineStr">
        <x:is>
          <x:t xml:space="preserve">USD billions</x:t>
        </x:is>
      </x:c>
    </x:row>
    <x:row r="4">
      <x:c r="A4" t="n">
        <x:v>2025</x:v>
      </x:c>
      <x:c r="B4" t="inlineStr">
        <x:is>
          <x:t xml:space="preserve">Loans, net at year-end</x:t>
        </x:is>
      </x:c>
      <x:c r="C4" t="n">
        <x:v>732983</x:v>
      </x:c>
      <x:c r="D4" t="inlineStr">
        <x:is>
          <x:t xml:space="preserve">USD millions</x:t>
        </x:is>
      </x:c>
    </x:row>
    <x:row r="5">
      <x:c r="A5" t="n">
        <x:v>2025</x:v>
      </x:c>
      <x:c r="B5" t="inlineStr">
        <x:is>
          <x:t xml:space="preserve">Total deposits at year-end</x:t>
        </x:is>
      </x:c>
      <x:c r="C5" t="n">
        <x:v>1403573</x:v>
      </x:c>
      <x:c r="D5" t="inlineStr">
        <x:is>
          <x:t xml:space="preserve">USD millions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26" customWidth="1"/>
    <x:col min="4" max="4" width="55" customWidth="1"/>
    <x:col min="5" max="5" width="35" customWidth="1"/>
  </x:cols>
  <x:sheetData>
    <x:row r="1">
      <x:c r="A1" s="1" t="inlineStr">
        <x:is>
          <x:t xml:space="preserve">Source_ID</x:t>
        </x:is>
      </x:c>
      <x:c r="B1" s="1" t="inlineStr">
        <x:is>
          <x:t xml:space="preserve">Publisher</x:t>
        </x:is>
      </x:c>
      <x:c r="C1" s="1" t="inlineStr">
        <x:is>
          <x:t xml:space="preserve">Document</x:t>
        </x:is>
      </x:c>
      <x:c r="D1" s="1" t="inlineStr">
        <x:is>
          <x:t xml:space="preserve">URL</x:t>
        </x:is>
      </x:c>
      <x:c r="E1" s="1" t="inlineStr">
        <x:is>
          <x:t xml:space="preserve">Use</x:t>
        </x:is>
      </x:c>
    </x:row>
    <x:row r="2">
      <x:c r="A2" t="inlineStr">
        <x:is>
          <x:t xml:space="preserve">S001</x:t>
        </x:is>
      </x:c>
      <x:c r="B2" t="inlineStr">
        <x:is>
          <x:t xml:space="preserve">Citi</x:t>
        </x:is>
      </x:c>
      <x:c r="C2" t="inlineStr">
        <x:is>
          <x:t xml:space="preserve">2025 Annual Report</x:t>
        </x:is>
      </x:c>
      <x:c r="D2" t="inlineStr">
        <x:is>
          <x:t xml:space="preserve">https://www.citigroup.com/global/investors/annual-reports-and-proxy-statements/2026/annual-report</x:t>
        </x:is>
      </x:c>
      <x:c r="E2" t="inlineStr">
        <x:is>
          <x:t xml:space="preserve">Primary annual-report source</x:t>
        </x:is>
      </x:c>
    </x:row>
    <x:row r="3">
      <x:c r="A3" t="inlineStr">
        <x:is>
          <x:t xml:space="preserve">S002</x:t>
        </x:is>
      </x:c>
      <x:c r="B3" t="inlineStr">
        <x:is>
          <x:t xml:space="preserve">SEC</x:t>
        </x:is>
      </x:c>
      <x:c r="C3" t="inlineStr">
        <x:is>
          <x:t xml:space="preserve">Citigroup 2025 Form 10-K</x:t>
        </x:is>
      </x:c>
      <x:c r="D3" t="inlineStr">
        <x:is>
          <x:t xml:space="preserve">https://www.sec.gov/Archives/edgar/data/831001/000083100126000011/c-20251231.htm</x:t>
        </x:is>
      </x:c>
      <x:c r="E3" t="inlineStr">
        <x:is>
          <x:t xml:space="preserve">Regulatory filing</x:t>
        </x:is>
      </x:c>
    </x:row>
    <x:row r="4">
      <x:c r="A4" t="inlineStr">
        <x:is>
          <x:t xml:space="preserve">S003</x:t>
        </x:is>
      </x:c>
      <x:c r="B4" t="inlineStr">
        <x:is>
          <x:t xml:space="preserve">Citi</x:t>
        </x:is>
      </x:c>
      <x:c r="C4" t="inlineStr">
        <x:is>
          <x:t xml:space="preserve">Annual Reports archive</x:t>
        </x:is>
      </x:c>
      <x:c r="D4" t="inlineStr">
        <x:is>
          <x:t xml:space="preserve">https://www.citigroup.com/global/investors/annual-reports-and-proxy-statements</x:t>
        </x:is>
      </x:c>
      <x:c r="E4" t="inlineStr">
        <x:is>
          <x:t xml:space="preserve">Historical annual reports</x:t>
        </x:is>
      </x:c>
    </x:row>
    <x:row r="5">
      <x:c r="A5" t="inlineStr">
        <x:is>
          <x:t xml:space="preserve">S004</x:t>
        </x:is>
      </x:c>
      <x:c r="B5" t="inlineStr">
        <x:is>
          <x:t xml:space="preserve">Citi</x:t>
        </x:is>
      </x:c>
      <x:c r="C5" t="inlineStr">
        <x:is>
          <x:t xml:space="preserve">SEC Filings</x:t>
        </x:is>
      </x:c>
      <x:c r="D5" t="inlineStr">
        <x:is>
          <x:t xml:space="preserve">https://www.citigroup.com/global/investors/sec-filings</x:t>
        </x:is>
      </x:c>
      <x:c r="E5" t="inlineStr">
        <x:is>
          <x:t xml:space="preserve">10-K, 10-Q, 8-K and proxy filings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9" customWidth="1"/>
    <x:col min="2" max="2" width="22" customWidth="1"/>
    <x:col min="3" max="3" width="49" customWidth="1"/>
  </x:cols>
  <x:sheetData>
    <x:row r="1">
      <x:c r="A1" s="1" t="inlineStr">
        <x:is>
          <x:t xml:space="preserve">Table</x:t>
        </x:is>
      </x:c>
      <x:c r="B1" s="1" t="inlineStr">
        <x:is>
          <x:t xml:space="preserve">Column</x:t>
        </x:is>
      </x:c>
      <x:c r="C1" s="1" t="inlineStr">
        <x:is>
          <x:t xml:space="preserve">Definition</x:t>
        </x:is>
      </x:c>
    </x:row>
    <x:row r="2">
      <x:c r="A2" t="inlineStr">
        <x:is>
          <x:t xml:space="preserve">Financial_History</x:t>
        </x:is>
      </x:c>
      <x:c r="B2" t="inlineStr">
        <x:is>
          <x:t xml:space="preserve">Total_Assets_USD_M</x:t>
        </x:is>
      </x:c>
      <x:c r="C2" t="inlineStr">
        <x:is>
          <x:t xml:space="preserve">Total assets at December 31, USD millions</x:t>
        </x:is>
      </x:c>
    </x:row>
    <x:row r="3">
      <x:c r="A3" t="inlineStr">
        <x:is>
          <x:t xml:space="preserve">Financial_History</x:t>
        </x:is>
      </x:c>
      <x:c r="B3" t="inlineStr">
        <x:is>
          <x:t xml:space="preserve">Total_Deposits_USD_M</x:t>
        </x:is>
      </x:c>
      <x:c r="C3" t="inlineStr">
        <x:is>
          <x:t xml:space="preserve">Total deposits at December 31, USD millions</x:t>
        </x:is>
      </x:c>
    </x:row>
    <x:row r="4">
      <x:c r="A4" t="inlineStr">
        <x:is>
          <x:t xml:space="preserve">Financial_History</x:t>
        </x:is>
      </x:c>
      <x:c r="B4" t="inlineStr">
        <x:is>
          <x:t xml:space="preserve">ROA_Percent</x:t>
        </x:is>
      </x:c>
      <x:c r="C4" t="inlineStr">
        <x:is>
          <x:t xml:space="preserve">Return on average assets</x:t>
        </x:is>
      </x:c>
    </x:row>
    <x:row r="5">
      <x:c r="A5" t="inlineStr">
        <x:is>
          <x:t xml:space="preserve">Financial_History</x:t>
        </x:is>
      </x:c>
      <x:c r="B5" t="inlineStr">
        <x:is>
          <x:t xml:space="preserve">ROE_Common_Percent</x:t>
        </x:is>
      </x:c>
      <x:c r="C5" t="inlineStr">
        <x:is>
          <x:t xml:space="preserve">Return on average common stockholders' equity</x:t>
        </x:is>
      </x:c>
    </x:row>
    <x:row r="6">
      <x:c r="A6" t="inlineStr">
        <x:is>
          <x:t xml:space="preserve">Financial_History</x:t>
        </x:is>
      </x:c>
      <x:c r="B6" t="inlineStr">
        <x:is>
          <x:t xml:space="preserve">Revenue_USD_B</x:t>
        </x:is>
      </x:c>
      <x:c r="C6" t="inlineStr">
        <x:is>
          <x:t xml:space="preserve">Annual revenue, USD billions</x:t>
        </x:is>
      </x:c>
    </x:row>
    <x:row r="7">
      <x:c r="A7" t="inlineStr">
        <x:is>
          <x:t xml:space="preserve">Financial_History</x:t>
        </x:is>
      </x:c>
      <x:c r="B7" t="inlineStr">
        <x:is>
          <x:t xml:space="preserve">Net_Income_USD_B</x:t>
        </x:is>
      </x:c>
      <x:c r="C7" t="inlineStr">
        <x:is>
          <x:t xml:space="preserve">Annual net income, USD billions</x:t>
        </x:is>
      </x:c>
    </x:row>
    <x:row r="8">
      <x:c r="A8" t="inlineStr">
        <x:is>
          <x:t xml:space="preserve">Segment_Trends</x:t>
        </x:is>
      </x:c>
      <x:c r="B8" t="inlineStr">
        <x:is>
          <x:t xml:space="preserve">Value</x:t>
        </x:is>
      </x:c>
      <x:c r="C8" t="inlineStr">
        <x:is>
          <x:t xml:space="preserve">Publicly reported metric; unit shown separately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5.25" hidden="0" customWidth="1"/>
    <x:col min="3" max="3" width="5.25" hidden="0" customWidth="1"/>
    <x:col min="4" max="4" width="5.25" hidden="0" customWidth="1"/>
    <x:col min="5" max="5" width="5.25" hidden="0" customWidth="1"/>
    <x:col min="6" max="6" width="5.25" hidden="0" customWidth="1"/>
    <x:col min="7" max="7" width="5.25" hidden="0" customWidth="1"/>
    <x:col min="8" max="8" width="5.25" hidden="0" customWidth="1"/>
    <x:col min="9" max="9" width="5.25" hidden="0" customWidth="1"/>
    <x:col min="10" max="10" width="5.25" hidden="0" customWidth="1"/>
    <x:col min="11" max="11" width="5.25" hidden="0" customWidth="1"/>
    <x:col min="12" max="12" width="5.25" hidden="0" customWidth="1"/>
    <x:col min="13" max="13" width="5.25" hidden="0" customWidth="1"/>
    <x:col min="14" max="14" width="5.25" hidden="0" customWidth="1"/>
    <x:col min="15" max="15" width="5.25" hidden="0" customWidth="1"/>
    <x:col min="16" max="16" width="5.25" hidden="0" customWidth="1"/>
    <x:col min="17" max="17" width="5.25" hidden="0" customWidth="1"/>
    <x:col min="18" max="18" width="5.25" hidden="0" customWidth="1"/>
    <x:col min="19" max="19" width="5.25" hidden="0" customWidth="1"/>
    <x:col min="20" max="20" width="5.25" hidden="0" customWidth="1"/>
    <x:col min="21" max="21" width="5.25" hidden="0" customWidth="1"/>
    <x:col min="22" max="22" width="5.25" hidden="0" customWidth="1"/>
    <x:col min="23" max="23" width="5.25" hidden="0" customWidth="1"/>
    <x:col min="24" max="24" width="5.25" hidden="0" customWidth="1"/>
  </x:cols>
  <x:sheetData>
    <x:row r="1" ht="26" customHeight="1">
      <x:c r="A1" s="14" t="str">
        <x:v>CITI  |  EXECUTIVE PERFORMANCE DASHBOARD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</x:row>
    <x:row r="2" ht="26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3" ht="26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</x:row>
    <x:row r="4" ht="20" customHeight="1">
      <x:c r="A4" s="16" t="str">
        <x:v>FY2025 • Financial strength, returns, funding and operating momentum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20" t="str">
        <x:v>CITI-INSPIRED BLUE + RED THEME</x:v>
      </x:c>
      <x:c r="T4" s="10"/>
      <x:c r="U4" s="10"/>
      <x:c r="V4" s="10"/>
      <x:c r="W4" s="10"/>
      <x:c r="X4" s="10"/>
    </x:row>
    <x:row r="5" ht="4" customHeight="1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</x:row>
    <x:row r="6" ht="7" customHeight="1">
      <x:c r="A6" s="42"/>
      <x:c r="B6" s="43"/>
      <x:c r="C6" s="43"/>
      <x:c r="D6" s="44"/>
      <x:c r="E6" s="42"/>
      <x:c r="F6" s="43"/>
      <x:c r="G6" s="43"/>
      <x:c r="H6" s="44"/>
      <x:c r="I6" s="42"/>
      <x:c r="J6" s="43"/>
      <x:c r="K6" s="43"/>
      <x:c r="L6" s="44"/>
      <x:c r="M6" s="42"/>
      <x:c r="N6" s="43"/>
      <x:c r="O6" s="43"/>
      <x:c r="P6" s="44"/>
      <x:c r="Q6" s="64"/>
      <x:c r="R6" s="65"/>
      <x:c r="S6" s="65"/>
      <x:c r="T6" s="66"/>
      <x:c r="U6" s="64"/>
      <x:c r="V6" s="65"/>
      <x:c r="W6" s="65"/>
      <x:c r="X6" s="66"/>
    </x:row>
    <x:row r="7" ht="18" customHeight="1">
      <x:c r="A7" s="48" t="str">
        <x:v>TOTAL ASSETS</x:v>
      </x:c>
      <x:c r="B7" s="24"/>
      <x:c r="C7" s="24"/>
      <x:c r="D7" s="30"/>
      <x:c r="E7" s="48" t="str">
        <x:v>TOTAL DEPOSITS</x:v>
      </x:c>
      <x:c r="F7" s="24"/>
      <x:c r="G7" s="24"/>
      <x:c r="H7" s="30"/>
      <x:c r="I7" s="48" t="str">
        <x:v>REVENUE</x:v>
      </x:c>
      <x:c r="J7" s="24"/>
      <x:c r="K7" s="24"/>
      <x:c r="L7" s="30"/>
      <x:c r="M7" s="48" t="str">
        <x:v>ROA</x:v>
      </x:c>
      <x:c r="N7" s="24"/>
      <x:c r="O7" s="24"/>
      <x:c r="P7" s="30"/>
      <x:c r="Q7" s="48" t="str">
        <x:v>ROE</x:v>
      </x:c>
      <x:c r="R7" s="24"/>
      <x:c r="S7" s="24"/>
      <x:c r="T7" s="30"/>
      <x:c r="U7" s="48" t="str">
        <x:v>RoTCE</x:v>
      </x:c>
      <x:c r="V7" s="24"/>
      <x:c r="W7" s="24"/>
      <x:c r="X7" s="30"/>
    </x:row>
    <x:row r="8" ht="28" customHeight="1">
      <x:c r="A8" s="52" t="n">
        <x:f>'Financial_History'!B6/1000000</x:f>
        <x:v>2.657202</x:v>
      </x:c>
      <x:c r="B8" s="24"/>
      <x:c r="C8" s="24"/>
      <x:c r="D8" s="30"/>
      <x:c r="E8" s="52" t="n">
        <x:f>'Financial_History'!C6/1000000</x:f>
        <x:v>1.403573</x:v>
      </x:c>
      <x:c r="F8" s="24"/>
      <x:c r="G8" s="24"/>
      <x:c r="H8" s="30"/>
      <x:c r="I8" s="58" t="n">
        <x:f>'Financial_History'!J6</x:f>
        <x:v>85.2</x:v>
      </x:c>
      <x:c r="J8" s="24"/>
      <x:c r="K8" s="24"/>
      <x:c r="L8" s="30"/>
      <x:c r="M8" s="62" t="n">
        <x:f>'Financial_History'!H6</x:f>
        <x:v>0.54</x:v>
      </x:c>
      <x:c r="N8" s="24"/>
      <x:c r="O8" s="24"/>
      <x:c r="P8" s="30"/>
      <x:c r="Q8" s="72" t="n">
        <x:f>'Financial_History'!I6</x:f>
        <x:v>6.8</x:v>
      </x:c>
      <x:c r="R8" s="24"/>
      <x:c r="S8" s="24"/>
      <x:c r="T8" s="30"/>
      <x:c r="U8" s="72" t="n">
        <x:f>'Operating_Highlights'!D3</x:f>
        <x:v>7.7</x:v>
      </x:c>
      <x:c r="V8" s="24"/>
      <x:c r="W8" s="24"/>
      <x:c r="X8" s="30"/>
    </x:row>
    <x:row r="9" ht="28" customHeight="1">
      <x:c r="A9" s="29"/>
      <x:c r="B9" s="24"/>
      <x:c r="C9" s="24"/>
      <x:c r="D9" s="30"/>
      <x:c r="E9" s="29"/>
      <x:c r="F9" s="24"/>
      <x:c r="G9" s="24"/>
      <x:c r="H9" s="30"/>
      <x:c r="I9" s="29"/>
      <x:c r="J9" s="24"/>
      <x:c r="K9" s="24"/>
      <x:c r="L9" s="30"/>
      <x:c r="M9" s="29"/>
      <x:c r="N9" s="24"/>
      <x:c r="O9" s="24"/>
      <x:c r="P9" s="30"/>
      <x:c r="Q9" s="29"/>
      <x:c r="R9" s="24"/>
      <x:c r="S9" s="24"/>
      <x:c r="T9" s="30"/>
      <x:c r="U9" s="29"/>
      <x:c r="V9" s="24"/>
      <x:c r="W9" s="24"/>
      <x:c r="X9" s="30"/>
    </x:row>
    <x:row r="10" ht="20" customHeight="1">
      <x:c r="A10" s="54" t="str">
        <x:f>TEXT(('Financial_History'!B6/'Financial_History'!B5)-1,"+0.0%;-0.0%")&amp;" vs FY2024"</x:f>
        <x:v>+12.9% vs FY2024</x:v>
      </x:c>
      <x:c r="B10" s="32"/>
      <x:c r="C10" s="32"/>
      <x:c r="D10" s="33"/>
      <x:c r="E10" s="54" t="str">
        <x:f>TEXT(('Financial_History'!C6/'Financial_History'!C5)-1,"+0.0%;-0.0%")&amp;" vs FY2024"</x:f>
        <x:v>+9.3% vs FY2024</x:v>
      </x:c>
      <x:c r="F10" s="32"/>
      <x:c r="G10" s="32"/>
      <x:c r="H10" s="33"/>
      <x:c r="I10" s="54" t="str">
        <x:f>TEXT(('Financial_History'!J6/'Financial_History'!J5)-1,"+0.0%;-0.0%")&amp;" vs FY2024"</x:f>
        <x:v>+5.1% vs FY2024</x:v>
      </x:c>
      <x:c r="J10" s="32"/>
      <x:c r="K10" s="32"/>
      <x:c r="L10" s="33"/>
      <x:c r="M10" s="54" t="str">
        <x:f>TEXT('Financial_History'!H6-'Financial_History'!H5,"+0.00;-0.00")&amp;" pp vs FY2024"</x:f>
        <x:v>+0.03 pp vs FY2024</x:v>
      </x:c>
      <x:c r="N10" s="32"/>
      <x:c r="O10" s="32"/>
      <x:c r="P10" s="33"/>
      <x:c r="Q10" s="74" t="str">
        <x:f>TEXT('Financial_History'!I6-'Financial_History'!I5,"+0.0;-0.0")&amp;" pp vs FY2024"</x:f>
        <x:v>+0.7 pp vs FY2024</x:v>
      </x:c>
      <x:c r="R10" s="32"/>
      <x:c r="S10" s="32"/>
      <x:c r="T10" s="33"/>
      <x:c r="U10" s="74" t="str">
        <x:f>"Capital returned: $"&amp;TEXT('Operating_Highlights'!C3,"0.0")&amp;"B"</x:f>
        <x:v>Capital returned: $17.6B</x:v>
      </x:c>
      <x:c r="V10" s="32"/>
      <x:c r="W10" s="32"/>
      <x:c r="X10" s="33"/>
    </x:row>
    <x:row r="11" ht="10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</x:row>
    <x:row r="12" ht="20" customHeight="1">
      <x:c r="A12" s="76" t="str">
        <x:v>BALANCE SHEET SCALE • 2021–2025</x:v>
      </x:c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78" t="str">
        <x:v>RETURN PROFILE • 2021–2025</x:v>
      </x:c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</x:row>
    <x:row r="13" ht="20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</x:row>
    <x:row r="14" ht="20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</x:row>
    <x:row r="15" ht="20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</x:row>
    <x:row r="16" ht="20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</x:row>
    <x:row r="17" ht="20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</x:row>
    <x:row r="18" ht="20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</x:row>
    <x:row r="19" ht="20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</x:row>
    <x:row r="20" ht="20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</x:row>
    <x:row r="21" ht="20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</x:row>
    <x:row r="22" ht="20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</x:row>
    <x:row r="23" ht="20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</x:row>
    <x:row r="24" ht="20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</x:row>
    <x:row r="25" ht="10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</x:row>
    <x:row r="26" ht="20" customHeight="1">
      <x:c r="A26" s="76" t="str">
        <x:v>2025 ASSET COMPOSITION</x:v>
      </x:c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78" t="str">
        <x:v>BUSINESS GROWTH HIGHLIGHTS</x:v>
      </x:c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</x:row>
    <x:row r="27" ht="20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</x:row>
    <x:row r="28" ht="20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</x:row>
    <x:row r="29" ht="20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</x:row>
    <x:row r="30" ht="20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</x:row>
    <x:row r="31" ht="20" customHeight="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</x:row>
    <x:row r="32" ht="20" customHeight="1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</x:row>
    <x:row r="33" ht="20" customHeight="1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</x:row>
    <x:row r="34" ht="20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</x:row>
    <x:row r="35" ht="20" customHeight="1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</x:row>
    <x:row r="36" ht="20" customHeight="1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</x:row>
    <x:row r="37" ht="20" customHeight="1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</x:row>
    <x:row r="38" ht="20" customHeight="1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</x:row>
    <x:row r="39" ht="10" customHeight="1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</x:row>
    <x:row r="40" ht="22" customHeight="1">
      <x:c r="A40" s="80" t="str">
        <x:v>2025 KEY TAKEAWAYS</x:v>
      </x:c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</x:row>
    <x:row r="41" ht="18" customHeight="1">
      <x:c r="A41" s="82" t="str">
        <x:v>LOAN / DEPOSIT RATIO</x:v>
      </x:c>
      <x:c r="B41" s="27"/>
      <x:c r="C41" s="27"/>
      <x:c r="D41" s="27"/>
      <x:c r="E41" s="27"/>
      <x:c r="F41" s="27"/>
      <x:c r="G41" s="27"/>
      <x:c r="H41" s="28"/>
      <x:c r="I41" s="82" t="str">
        <x:v>CAPITAL RETURN</x:v>
      </x:c>
      <x:c r="J41" s="27"/>
      <x:c r="K41" s="27"/>
      <x:c r="L41" s="27"/>
      <x:c r="M41" s="27"/>
      <x:c r="N41" s="27"/>
      <x:c r="O41" s="27"/>
      <x:c r="P41" s="28"/>
      <x:c r="Q41" s="82" t="str">
        <x:v>DIRECT STAFF</x:v>
      </x:c>
      <x:c r="R41" s="27"/>
      <x:c r="S41" s="27"/>
      <x:c r="T41" s="27"/>
      <x:c r="U41" s="27"/>
      <x:c r="V41" s="27"/>
      <x:c r="W41" s="27"/>
      <x:c r="X41" s="28"/>
    </x:row>
    <x:row r="42" ht="24" customHeight="1">
      <x:c r="A42" s="86" t="n">
        <x:f>'Balance_Sheet_2025'!B6/'Balance_Sheet_2025'!B9</x:f>
        <x:v>0.5222264891102921</x:v>
      </x:c>
      <x:c r="B42" s="24"/>
      <x:c r="C42" s="24"/>
      <x:c r="D42" s="24"/>
      <x:c r="E42" s="24"/>
      <x:c r="F42" s="24"/>
      <x:c r="G42" s="24"/>
      <x:c r="H42" s="30"/>
      <x:c r="I42" s="92" t="n">
        <x:f>'Operating_Highlights'!C3</x:f>
        <x:v>17.6</x:v>
      </x:c>
      <x:c r="J42" s="24"/>
      <x:c r="K42" s="24"/>
      <x:c r="L42" s="24"/>
      <x:c r="M42" s="24"/>
      <x:c r="N42" s="24"/>
      <x:c r="O42" s="24"/>
      <x:c r="P42" s="30"/>
      <x:c r="Q42" s="96" t="n">
        <x:f>'Financial_History'!G6</x:f>
        <x:v>226</x:v>
      </x:c>
      <x:c r="R42" s="24"/>
      <x:c r="S42" s="24"/>
      <x:c r="T42" s="24"/>
      <x:c r="U42" s="24"/>
      <x:c r="V42" s="24"/>
      <x:c r="W42" s="24"/>
      <x:c r="X42" s="30"/>
    </x:row>
    <x:row r="43" ht="24" customHeight="1">
      <x:c r="A43" s="29"/>
      <x:c r="B43" s="24"/>
      <x:c r="C43" s="24"/>
      <x:c r="D43" s="24"/>
      <x:c r="E43" s="24"/>
      <x:c r="F43" s="24"/>
      <x:c r="G43" s="24"/>
      <x:c r="H43" s="30"/>
      <x:c r="I43" s="29"/>
      <x:c r="J43" s="24"/>
      <x:c r="K43" s="24"/>
      <x:c r="L43" s="24"/>
      <x:c r="M43" s="24"/>
      <x:c r="N43" s="24"/>
      <x:c r="O43" s="24"/>
      <x:c r="P43" s="30"/>
      <x:c r="Q43" s="29"/>
      <x:c r="R43" s="24"/>
      <x:c r="S43" s="24"/>
      <x:c r="T43" s="24"/>
      <x:c r="U43" s="24"/>
      <x:c r="V43" s="24"/>
      <x:c r="W43" s="24"/>
      <x:c r="X43" s="30"/>
    </x:row>
    <x:row r="44" ht="18" customHeight="1">
      <x:c r="A44" s="90" t="str">
        <x:v>Year-end loans as a share of deposits</x:v>
      </x:c>
      <x:c r="B44" s="32"/>
      <x:c r="C44" s="32"/>
      <x:c r="D44" s="32"/>
      <x:c r="E44" s="32"/>
      <x:c r="F44" s="32"/>
      <x:c r="G44" s="32"/>
      <x:c r="H44" s="33"/>
      <x:c r="I44" s="90" t="str">
        <x:v>Returned to common shareholders</x:v>
      </x:c>
      <x:c r="J44" s="32"/>
      <x:c r="K44" s="32"/>
      <x:c r="L44" s="32"/>
      <x:c r="M44" s="32"/>
      <x:c r="N44" s="32"/>
      <x:c r="O44" s="32"/>
      <x:c r="P44" s="33"/>
      <x:c r="Q44" s="90" t="str">
        <x:v>Year-end direct staff</x:v>
      </x:c>
      <x:c r="R44" s="32"/>
      <x:c r="S44" s="32"/>
      <x:c r="T44" s="32"/>
      <x:c r="U44" s="32"/>
      <x:c r="V44" s="32"/>
      <x:c r="W44" s="32"/>
      <x:c r="X44" s="33"/>
    </x:row>
    <x:row r="45" ht="18" customHeight="1">
      <x:c r="A45" s="102" t="str">
        <x:v>Source: Citi 2025 Annual Report and public filings • https://www.citigroup.com/global/investors/annual-reports-and-proxy-statements/2026/annual-report
Business-growth bars retain the reported year shown in each label.</x:v>
      </x:c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</x:row>
    <x:row r="46" ht="18" customHeight="1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</x:row>
  </x:sheetData>
  <x:mergeCells>
    <x:mergeCell ref="A1:X3"/>
    <x:mergeCell ref="A4:R4"/>
    <x:mergeCell ref="S4:X4"/>
    <x:mergeCell ref="A7:D7"/>
    <x:mergeCell ref="A8:D9"/>
    <x:mergeCell ref="A10:D10"/>
    <x:mergeCell ref="E7:H7"/>
    <x:mergeCell ref="E8:H9"/>
    <x:mergeCell ref="E10:H10"/>
    <x:mergeCell ref="I7:L7"/>
    <x:mergeCell ref="I8:L9"/>
    <x:mergeCell ref="I10:L10"/>
    <x:mergeCell ref="M7:P7"/>
    <x:mergeCell ref="M8:P9"/>
    <x:mergeCell ref="M10:P10"/>
    <x:mergeCell ref="Q7:T7"/>
    <x:mergeCell ref="Q8:T9"/>
    <x:mergeCell ref="Q10:T10"/>
    <x:mergeCell ref="U7:X7"/>
    <x:mergeCell ref="U8:X9"/>
    <x:mergeCell ref="U10:X10"/>
    <x:mergeCell ref="A12:L12"/>
    <x:mergeCell ref="M12:X12"/>
    <x:mergeCell ref="A26:L26"/>
    <x:mergeCell ref="M26:X26"/>
    <x:mergeCell ref="A40:X40"/>
    <x:mergeCell ref="A41:H41"/>
    <x:mergeCell ref="A42:H43"/>
    <x:mergeCell ref="A44:H44"/>
    <x:mergeCell ref="I41:P41"/>
    <x:mergeCell ref="I42:P43"/>
    <x:mergeCell ref="I44:P44"/>
    <x:mergeCell ref="Q41:X41"/>
    <x:mergeCell ref="Q42:X43"/>
    <x:mergeCell ref="Q44:X44"/>
    <x:mergeCell ref="A45:X46"/>
  </x:mergeCells>
  <x:pageMargins left="0.7" right="0.7" top="0.75" bottom="0.75" header="0.3" footer="0.3"/>
  <x:drawing xmlns:r="http://schemas.openxmlformats.org/officeDocument/2006/relationships" r:id="Rdb3c62395d4e469c"/>
</x:worksheet>
</file>

<file path=xl/worksheets/sheet10.xml><?xml version="1.0" encoding="utf-8"?>
<x:worksheet xmlns:x="http://schemas.openxmlformats.org/spreadsheetml/2006/main">
  <x:sheetFormatPr defaultRowHeight="15"/>
  <x:cols>
    <x:col min="1" max="1" width="3.630000114440918" hidden="0" customWidth="1"/>
    <x:col min="2" max="2" width="7.130000114440918" hidden="0" customWidth="1"/>
    <x:col min="3" max="3" width="8.630000114440918" hidden="0" customWidth="1"/>
    <x:col min="5" max="5" width="3.630000114440918" hidden="0" customWidth="1"/>
    <x:col min="6" max="6" width="4.630000114440918" hidden="0" customWidth="1"/>
    <x:col min="7" max="7" width="4.5" hidden="0" customWidth="1"/>
    <x:col min="9" max="9" width="13.130000114440918" hidden="0" customWidth="1"/>
    <x:col min="10" max="10" width="10.5" hidden="0" customWidth="1"/>
    <x:col min="12" max="12" width="9.880000114440918" hidden="0" customWidth="1"/>
    <x:col min="13" max="13" width="11.880000114440918" hidden="0" customWidth="1"/>
  </x:cols>
  <x:sheetData>
    <x:row r="1">
      <x:c r="A1" s="4" t="str">
        <x:v>Year</x:v>
      </x:c>
      <x:c r="B1" s="4" t="str">
        <x:v>Assets ($T)</x:v>
      </x:c>
      <x:c r="C1" s="4" t="str">
        <x:v>Deposits ($T)</x:v>
      </x:c>
      <x:c r="D1" s="4"/>
      <x:c r="E1" s="4" t="str">
        <x:v>Year</x:v>
      </x:c>
      <x:c r="F1" s="4" t="str">
        <x:v>ROA %</x:v>
      </x:c>
      <x:c r="G1" s="4" t="str">
        <x:v>ROE %</x:v>
      </x:c>
      <x:c r="H1" s="4"/>
      <x:c r="I1" s="4" t="str">
        <x:v>Asset category</x:v>
      </x:c>
      <x:c r="J1" s="4" t="str">
        <x:v>2025 Assets ($T)</x:v>
      </x:c>
      <x:c r="K1" s="4"/>
      <x:c r="L1" s="4" t="str">
        <x:v>Business / year</x:v>
      </x:c>
      <x:c r="M1" s="4" t="str">
        <x:v>Revenue growth %</x:v>
      </x:c>
    </x:row>
    <x:row r="2">
      <x:c r="A2" s="4" t="n">
        <x:v>2021</x:v>
      </x:c>
      <x:c r="B2" s="4" t="n">
        <x:f>'Financial_History'!B2/1000000</x:f>
        <x:v>2.291413</x:v>
      </x:c>
      <x:c r="C2" s="4" t="n">
        <x:f>'Financial_History'!C2/1000000</x:f>
        <x:v>1.31723</x:v>
      </x:c>
      <x:c r="D2" s="4"/>
      <x:c r="E2" s="4" t="n">
        <x:v>2021</x:v>
      </x:c>
      <x:c r="F2" s="4" t="n">
        <x:f>'Financial_History'!H2</x:f>
        <x:v>0.94</x:v>
      </x:c>
      <x:c r="G2" s="4" t="n">
        <x:f>'Financial_History'!I2</x:f>
        <x:v>11.5</x:v>
      </x:c>
      <x:c r="H2" s="4"/>
      <x:c r="I2" s="4" t="str">
        <x:v>Cash / bank deposits</x:v>
      </x:c>
      <x:c r="J2" s="4" t="n">
        <x:f>'Balance_Sheet_2025'!B2/1000000</x:f>
        <x:v>0.349579</x:v>
      </x:c>
      <x:c r="K2" s="4"/>
      <x:c r="L2" s="4" t="str">
        <x:v>Banking (2025)</x:v>
      </x:c>
      <x:c r="M2" s="4" t="n">
        <x:f>'Segment_Trends'!D4</x:f>
        <x:v>32</x:v>
      </x:c>
    </x:row>
    <x:row r="3">
      <x:c r="A3" s="4" t="n">
        <x:v>2022</x:v>
      </x:c>
      <x:c r="B3" s="4" t="n">
        <x:f>'Financial_History'!B3/1000000</x:f>
        <x:v>2.416676</x:v>
      </x:c>
      <x:c r="C3" s="4" t="n">
        <x:f>'Financial_History'!C3/1000000</x:f>
        <x:v>1.365954</x:v>
      </x:c>
      <x:c r="D3" s="4"/>
      <x:c r="E3" s="4" t="n">
        <x:v>2022</x:v>
      </x:c>
      <x:c r="F3" s="4" t="n">
        <x:f>'Financial_History'!H3</x:f>
        <x:v>0.62</x:v>
      </x:c>
      <x:c r="G3" s="4" t="n">
        <x:f>'Financial_History'!I3</x:f>
        <x:v>7.7</x:v>
      </x:c>
      <x:c r="H3" s="4"/>
      <x:c r="I3" s="4" t="str">
        <x:v>Resale agreements</x:v>
      </x:c>
      <x:c r="J3" s="4" t="n">
        <x:f>'Balance_Sheet_2025'!B3/1000000</x:f>
        <x:v>0.356195</x:v>
      </x:c>
      <x:c r="K3" s="4"/>
      <x:c r="L3" s="4" t="str">
        <x:v>Services (2024)</x:v>
      </x:c>
      <x:c r="M3" s="4" t="n">
        <x:f>'Segment_Trends'!D2</x:f>
        <x:v>9</x:v>
      </x:c>
    </x:row>
    <x:row r="4">
      <x:c r="A4" s="4" t="n">
        <x:v>2023</x:v>
      </x:c>
      <x:c r="B4" s="4" t="n">
        <x:f>'Financial_History'!B4/1000000</x:f>
        <x:v>2.411834</x:v>
      </x:c>
      <x:c r="C4" s="4" t="n">
        <x:f>'Financial_History'!C4/1000000</x:f>
        <x:v>1.308681</x:v>
      </x:c>
      <x:c r="D4" s="4"/>
      <x:c r="E4" s="4" t="n">
        <x:v>2023</x:v>
      </x:c>
      <x:c r="F4" s="4" t="n">
        <x:f>'Financial_History'!H4</x:f>
        <x:v>0.38</x:v>
      </x:c>
      <x:c r="G4" s="4" t="n">
        <x:f>'Financial_History'!I4</x:f>
        <x:v>4.3</x:v>
      </x:c>
      <x:c r="H4" s="4"/>
      <x:c r="I4" s="4" t="str">
        <x:v>Trading assets</x:v>
      </x:c>
      <x:c r="J4" s="4" t="n">
        <x:f>'Balance_Sheet_2025'!B4/1000000</x:f>
        <x:v>0.537139</x:v>
      </x:c>
      <x:c r="K4" s="4"/>
      <x:c r="L4" s="4" t="str">
        <x:v>Markets (2024)</x:v>
      </x:c>
      <x:c r="M4" s="4" t="n">
        <x:f>'Segment_Trends'!D3</x:f>
        <x:v>6</x:v>
      </x:c>
    </x:row>
    <x:row r="5">
      <x:c r="A5" s="4" t="n">
        <x:v>2024</x:v>
      </x:c>
      <x:c r="B5" s="4" t="n">
        <x:f>'Financial_History'!B5/1000000</x:f>
        <x:v>2.352945</x:v>
      </x:c>
      <x:c r="C5" s="4" t="n">
        <x:f>'Financial_History'!C5/1000000</x:f>
        <x:v>1.284458</x:v>
      </x:c>
      <x:c r="D5" s="4"/>
      <x:c r="E5" s="4" t="n">
        <x:v>2024</x:v>
      </x:c>
      <x:c r="F5" s="4" t="n">
        <x:f>'Financial_History'!H5</x:f>
        <x:v>0.51</x:v>
      </x:c>
      <x:c r="G5" s="4" t="n">
        <x:f>'Financial_History'!I5</x:f>
        <x:v>6.1</x:v>
      </x:c>
      <x:c r="H5" s="4"/>
      <x:c r="I5" s="4" t="str">
        <x:v>Investments</x:v>
      </x:c>
      <x:c r="J5" s="4" t="n">
        <x:f>'Balance_Sheet_2025'!B5/1000000</x:f>
        <x:v>0.444229</x:v>
      </x:c>
      <x:c r="K5" s="4"/>
      <x:c r="L5" s="4"/>
      <x:c r="M5" s="4"/>
    </x:row>
    <x:row r="6">
      <x:c r="A6" s="4" t="n">
        <x:v>2025</x:v>
      </x:c>
      <x:c r="B6" s="4" t="n">
        <x:f>'Financial_History'!B6/1000000</x:f>
        <x:v>2.657202</x:v>
      </x:c>
      <x:c r="C6" s="4" t="n">
        <x:f>'Financial_History'!C6/1000000</x:f>
        <x:v>1.403573</x:v>
      </x:c>
      <x:c r="D6" s="4"/>
      <x:c r="E6" s="4" t="n">
        <x:v>2025</x:v>
      </x:c>
      <x:c r="F6" s="4" t="n">
        <x:f>'Financial_History'!H6</x:f>
        <x:v>0.54</x:v>
      </x:c>
      <x:c r="G6" s="4" t="n">
        <x:f>'Financial_History'!I6</x:f>
        <x:v>6.8</x:v>
      </x:c>
      <x:c r="H6" s="4"/>
      <x:c r="I6" s="4" t="str">
        <x:v>Loans, net</x:v>
      </x:c>
      <x:c r="J6" s="4" t="n">
        <x:f>'Balance_Sheet_2025'!B6/1000000</x:f>
        <x:v>0.732983</x:v>
      </x:c>
      <x:c r="K6" s="4"/>
      <x:c r="L6" s="4"/>
      <x:c r="M6" s="4"/>
    </x:row>
    <x:row r="7">
      <x:c r="A7" s="4"/>
      <x:c r="B7" s="4"/>
      <x:c r="C7" s="4"/>
      <x:c r="D7" s="4"/>
      <x:c r="E7" s="4"/>
      <x:c r="F7" s="4"/>
      <x:c r="G7" s="4"/>
      <x:c r="H7" s="4"/>
      <x:c r="I7" s="4" t="str">
        <x:v>Other assets</x:v>
      </x:c>
      <x:c r="J7" s="4" t="n">
        <x:f>'Balance_Sheet_2025'!B7/1000000</x:f>
        <x:v>0.237077</x:v>
      </x:c>
      <x:c r="K7" s="4"/>
      <x:c r="L7" s="4"/>
      <x:c r="M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</x:sheetData>
  <x:pageMargins left="0.7" right="0.7" top="0.75" bottom="0.75" header="0.3" footer="0.3"/>
</x:worksheet>
</file>